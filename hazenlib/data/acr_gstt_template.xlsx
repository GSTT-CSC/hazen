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40" yWindow="620" windowWidth="19200" windowHeight="19200" tabRatio="551" firstSheet="0" activeTab="0" autoFilterDateGrouping="1"/>
  </bookViews>
  <sheets>
    <sheet xmlns:r="http://schemas.openxmlformats.org/officeDocument/2006/relationships" name="Hazen Output" sheetId="1" state="visible" r:id="rId1"/>
    <sheet xmlns:r="http://schemas.openxmlformats.org/officeDocument/2006/relationships" name="Geometric accuracy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26">
    <font>
      <name val="Arial"/>
      <sz val="10"/>
    </font>
    <font>
      <name val="Calibri"/>
      <family val="2"/>
      <color theme="1"/>
      <sz val="12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4"/>
    </font>
    <font>
      <name val="Courier New"/>
      <family val="3"/>
      <sz val="10.5"/>
    </font>
    <font>
      <name val="Calibri"/>
      <family val="2"/>
      <sz val="10"/>
      <scheme val="minor"/>
    </font>
    <font>
      <name val="Arial"/>
      <family val="2"/>
      <color rgb="FFFF0000"/>
      <sz val="10"/>
    </font>
    <font>
      <name val="Arial"/>
      <family val="2"/>
      <b val="1"/>
      <sz val="12"/>
    </font>
    <font>
      <name val="Arial"/>
      <family val="2"/>
      <color theme="10"/>
      <sz val="10"/>
      <u val="single"/>
    </font>
    <font>
      <name val="Arial"/>
      <family val="2"/>
      <color theme="11"/>
      <sz val="10"/>
      <u val="single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color theme="1"/>
      <sz val="10"/>
    </font>
    <font>
      <name val="Arial"/>
      <family val="2"/>
      <sz val="10"/>
      <vertAlign val="superscript"/>
    </font>
    <font>
      <name val="Arial"/>
      <family val="2"/>
      <color theme="1"/>
      <sz val="10"/>
    </font>
    <font>
      <name val="Arial"/>
      <family val="2"/>
      <i val="1"/>
      <sz val="10"/>
    </font>
    <font>
      <name val="Arial"/>
      <family val="2"/>
      <sz val="10"/>
      <u val="single"/>
    </font>
    <font>
      <name val="Arial"/>
      <family val="2"/>
      <color theme="4"/>
      <sz val="10"/>
    </font>
    <font>
      <name val="Arial"/>
      <family val="2"/>
      <b val="1"/>
      <i val="1"/>
      <color rgb="FFFF0000"/>
      <sz val="10"/>
    </font>
    <font>
      <name val="Arial"/>
      <family val="2"/>
      <color rgb="FFFF0000"/>
      <sz val="8"/>
    </font>
    <font>
      <name val="Arial"/>
      <family val="2"/>
      <b val="1"/>
      <color rgb="FFFF0000"/>
      <sz val="10"/>
    </font>
    <font>
      <name val="Calibri"/>
      <family val="2"/>
      <color rgb="FF006100"/>
      <sz val="12"/>
      <scheme val="minor"/>
    </font>
    <font>
      <name val="Arial"/>
      <family val="2"/>
      <b val="1"/>
      <sz val="18"/>
    </font>
    <font>
      <name val="Arial"/>
      <family val="2"/>
      <color rgb="FFFF0000"/>
      <sz val="12"/>
    </font>
    <font>
      <name val="Arial "/>
      <b val="1"/>
      <sz val="10"/>
    </font>
  </fonts>
  <fills count="1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C6EFCE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09997863704336681"/>
        <bgColor indexed="64"/>
      </patternFill>
    </fill>
  </fills>
  <borders count="7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EC418E"/>
      </left>
      <right style="medium">
        <color rgb="FFEC418E"/>
      </right>
      <top/>
      <bottom style="medium">
        <color rgb="FFEC418E"/>
      </bottom>
      <diagonal/>
    </border>
    <border>
      <left style="medium">
        <color rgb="FFEC418E"/>
      </left>
      <right style="medium">
        <color rgb="FFEC418E"/>
      </right>
      <top style="medium">
        <color rgb="FFEC418E"/>
      </top>
      <bottom/>
      <diagonal/>
    </border>
    <border>
      <left style="medium">
        <color rgb="FFEC418E"/>
      </left>
      <right style="medium">
        <color rgb="FFEC418E"/>
      </right>
      <top/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rgb="FFEC418E"/>
      </left>
      <right/>
      <top style="medium">
        <color rgb="FFEC418E"/>
      </top>
      <bottom style="medium">
        <color rgb="FFEC418E"/>
      </bottom>
      <diagonal/>
    </border>
    <border>
      <left style="thin">
        <color rgb="FF70AD47"/>
      </left>
      <right/>
      <top style="thin">
        <color rgb="FF70AD47"/>
      </top>
      <bottom style="thin">
        <color rgb="FF70AD47"/>
      </bottom>
      <diagonal/>
    </border>
    <border>
      <left/>
      <right/>
      <top style="thin">
        <color rgb="FF70AD47"/>
      </top>
      <bottom style="thin">
        <color rgb="FF70AD47"/>
      </bottom>
      <diagonal/>
    </border>
    <border>
      <left/>
      <right style="thin">
        <color rgb="FF70AD47"/>
      </right>
      <top style="thin">
        <color rgb="FF70AD47"/>
      </top>
      <bottom style="thin">
        <color rgb="FF70AD47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/>
    <border>
      <right/>
      <bottom/>
    </border>
  </borders>
  <cellStyleXfs count="6">
    <xf numFmtId="0" fontId="0" fillId="0" borderId="0"/>
    <xf numFmtId="0" fontId="9" fillId="0" borderId="0"/>
    <xf numFmtId="0" fontId="10" fillId="0" borderId="0"/>
    <xf numFmtId="0" fontId="1" fillId="0" borderId="0"/>
    <xf numFmtId="0" fontId="2" fillId="0" borderId="0"/>
    <xf numFmtId="0" fontId="22" fillId="8" borderId="0"/>
  </cellStyleXfs>
  <cellXfs count="235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/>
    </xf>
    <xf numFmtId="0" fontId="6" fillId="0" borderId="0" pivotButton="0" quotePrefix="0" xfId="0"/>
    <xf numFmtId="0" fontId="7" fillId="0" borderId="0" pivotButton="0" quotePrefix="0" xfId="0"/>
    <xf numFmtId="2" fontId="7" fillId="0" borderId="0" applyAlignment="1" pivotButton="0" quotePrefix="0" xfId="0">
      <alignment horizontal="right"/>
    </xf>
    <xf numFmtId="0" fontId="2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0" fillId="0" borderId="21" pivotButton="0" quotePrefix="0" xfId="0"/>
    <xf numFmtId="0" fontId="2" fillId="0" borderId="18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2" fontId="2" fillId="0" borderId="0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5" borderId="0" pivotButton="0" quotePrefix="0" xfId="0"/>
    <xf numFmtId="0" fontId="2" fillId="0" borderId="26" pivotButton="0" quotePrefix="0" xfId="0"/>
    <xf numFmtId="0" fontId="0" fillId="0" borderId="27" pivotButton="0" quotePrefix="0" xfId="0"/>
    <xf numFmtId="2" fontId="0" fillId="0" borderId="28" pivotButton="0" quotePrefix="0" xfId="0"/>
    <xf numFmtId="2" fontId="0" fillId="0" borderId="27" pivotButton="0" quotePrefix="0" xfId="0"/>
    <xf numFmtId="0" fontId="7" fillId="5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3" fillId="5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2" fillId="0" borderId="25" pivotButton="0" quotePrefix="0" xfId="0"/>
    <xf numFmtId="0" fontId="2" fillId="0" borderId="24" pivotButton="0" quotePrefix="0" xfId="0"/>
    <xf numFmtId="0" fontId="15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/>
    </xf>
    <xf numFmtId="0" fontId="2" fillId="0" borderId="7" applyAlignment="1" pivotButton="0" quotePrefix="0" xfId="0">
      <alignment horizont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1" fillId="0" borderId="0" pivotButton="0" quotePrefix="0" xfId="0"/>
    <xf numFmtId="0" fontId="13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left"/>
    </xf>
    <xf numFmtId="2" fontId="0" fillId="0" borderId="0" pivotButton="0" quotePrefix="0" xfId="0"/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" fontId="15" fillId="9" borderId="7" applyAlignment="1" pivotButton="0" quotePrefix="0" xfId="19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wrapText="1"/>
    </xf>
    <xf numFmtId="0" fontId="3" fillId="7" borderId="7" applyAlignment="1" pivotButton="0" quotePrefix="0" xfId="0">
      <alignment horizont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4" borderId="5" pivotButton="0" quotePrefix="0" xfId="0"/>
    <xf numFmtId="0" fontId="2" fillId="4" borderId="3" pivotButton="0" quotePrefix="0" xfId="0"/>
    <xf numFmtId="0" fontId="2" fillId="4" borderId="4" pivotButton="0" quotePrefix="0" xfId="0"/>
    <xf numFmtId="1" fontId="15" fillId="0" borderId="0" applyAlignment="1" pivotButton="0" quotePrefix="0" xfId="19">
      <alignment horizontal="center" vertical="center"/>
    </xf>
    <xf numFmtId="0" fontId="11" fillId="0" borderId="0" applyAlignment="1" applyProtection="1" pivotButton="0" quotePrefix="0" xfId="0">
      <alignment horizontal="left" vertical="top" wrapText="1"/>
      <protection locked="0" hidden="0"/>
    </xf>
    <xf numFmtId="0" fontId="11" fillId="0" borderId="0" applyAlignment="1" applyProtection="1" pivotButton="0" quotePrefix="0" xfId="0">
      <alignment horizontal="center" vertical="top" wrapText="1"/>
      <protection locked="0" hidden="0"/>
    </xf>
    <xf numFmtId="1" fontId="3" fillId="7" borderId="33" applyAlignment="1" pivotButton="0" quotePrefix="0" xfId="0">
      <alignment horizontal="center" vertical="center"/>
    </xf>
    <xf numFmtId="1" fontId="3" fillId="7" borderId="34" applyAlignment="1" pivotButton="0" quotePrefix="0" xfId="0">
      <alignment horizontal="center" vertical="center"/>
    </xf>
    <xf numFmtId="0" fontId="3" fillId="7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1" fontId="3" fillId="7" borderId="40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3" fillId="10" borderId="41" applyAlignment="1" pivotButton="0" quotePrefix="0" xfId="0">
      <alignment horizontal="center"/>
    </xf>
    <xf numFmtId="0" fontId="13" fillId="10" borderId="35" applyAlignment="1" pivotButton="0" quotePrefix="0" xfId="0">
      <alignment horizontal="center"/>
    </xf>
    <xf numFmtId="1" fontId="3" fillId="10" borderId="34" applyAlignment="1" pivotButton="0" quotePrefix="0" xfId="0">
      <alignment horizontal="center" vertical="center"/>
    </xf>
    <xf numFmtId="14" fontId="2" fillId="4" borderId="6" applyAlignment="1" pivotButton="0" quotePrefix="0" xfId="0">
      <alignment horizontal="left"/>
    </xf>
    <xf numFmtId="0" fontId="3" fillId="0" borderId="37" applyAlignment="1" pivotButton="0" quotePrefix="0" xfId="0">
      <alignment horizontal="center"/>
    </xf>
    <xf numFmtId="1" fontId="2" fillId="3" borderId="36" applyAlignment="1" pivotButton="0" quotePrefix="0" xfId="0">
      <alignment horizontal="center" vertical="center"/>
    </xf>
    <xf numFmtId="1" fontId="2" fillId="3" borderId="7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3" fillId="0" borderId="3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3" fillId="0" borderId="42" applyAlignment="1" pivotButton="0" quotePrefix="0" xfId="0">
      <alignment horizontal="center" vertical="center"/>
    </xf>
    <xf numFmtId="0" fontId="15" fillId="4" borderId="11" applyAlignment="1" pivotButton="0" quotePrefix="0" xfId="0">
      <alignment horizontal="left" vertical="center" wrapText="1"/>
    </xf>
    <xf numFmtId="0" fontId="15" fillId="4" borderId="12" applyAlignment="1" pivotButton="0" quotePrefix="0" xfId="0">
      <alignment horizontal="left" vertical="center" wrapText="1"/>
    </xf>
    <xf numFmtId="0" fontId="15" fillId="4" borderId="5" applyAlignment="1" pivotButton="0" quotePrefix="0" xfId="0">
      <alignment horizontal="left" vertical="center" wrapText="1"/>
    </xf>
    <xf numFmtId="0" fontId="15" fillId="4" borderId="3" applyAlignment="1" pivotButton="0" quotePrefix="0" xfId="0">
      <alignment horizontal="left" vertical="center" wrapText="1"/>
    </xf>
    <xf numFmtId="0" fontId="0" fillId="3" borderId="36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2" fontId="2" fillId="3" borderId="38" applyAlignment="1" pivotButton="0" quotePrefix="0" xfId="0">
      <alignment horizontal="center" vertical="center"/>
    </xf>
    <xf numFmtId="0" fontId="13" fillId="0" borderId="37" applyAlignment="1" pivotButton="0" quotePrefix="0" xfId="0">
      <alignment horizontal="center" vertical="center"/>
    </xf>
    <xf numFmtId="0" fontId="13" fillId="0" borderId="42" applyAlignment="1" pivotButton="0" quotePrefix="0" xfId="0">
      <alignment horizontal="center" vertical="center"/>
    </xf>
    <xf numFmtId="0" fontId="2" fillId="0" borderId="14" pivotButton="0" quotePrefix="0" xfId="0"/>
    <xf numFmtId="0" fontId="3" fillId="0" borderId="19" applyAlignment="1" pivotButton="0" quotePrefix="0" xfId="0">
      <alignment wrapText="1"/>
    </xf>
    <xf numFmtId="0" fontId="2" fillId="0" borderId="14" applyAlignment="1" pivotButton="0" quotePrefix="0" xfId="0">
      <alignment horizontal="center"/>
    </xf>
    <xf numFmtId="0" fontId="3" fillId="0" borderId="15" applyAlignment="1" pivotButton="0" quotePrefix="0" xfId="0">
      <alignment wrapText="1"/>
    </xf>
    <xf numFmtId="0" fontId="2" fillId="0" borderId="16" applyAlignment="1" pivotButton="0" quotePrefix="0" xfId="0">
      <alignment horizontal="center" wrapText="1"/>
    </xf>
    <xf numFmtId="0" fontId="2" fillId="0" borderId="16" applyAlignment="1" pivotButton="0" quotePrefix="0" xfId="0">
      <alignment horizontal="center"/>
    </xf>
    <xf numFmtId="0" fontId="3" fillId="0" borderId="16" pivotButton="0" quotePrefix="0" xfId="0"/>
    <xf numFmtId="0" fontId="16" fillId="0" borderId="0" applyAlignment="1" pivotButton="0" quotePrefix="0" xfId="0">
      <alignment wrapText="1"/>
    </xf>
    <xf numFmtId="0" fontId="3" fillId="0" borderId="14" applyAlignment="1" pivotButton="0" quotePrefix="0" xfId="0">
      <alignment wrapText="1"/>
    </xf>
    <xf numFmtId="0" fontId="3" fillId="0" borderId="20" pivotButton="0" quotePrefix="0" xfId="0"/>
    <xf numFmtId="0" fontId="3" fillId="0" borderId="17" pivotButton="0" quotePrefix="0" xfId="0"/>
    <xf numFmtId="14" fontId="2" fillId="0" borderId="0" pivotButton="0" quotePrefix="0" xfId="0"/>
    <xf numFmtId="0" fontId="3" fillId="0" borderId="3" applyAlignment="1" pivotButton="0" quotePrefix="0" xfId="0">
      <alignment wrapText="1"/>
    </xf>
    <xf numFmtId="0" fontId="2" fillId="12" borderId="37" applyAlignment="1" pivotButton="0" quotePrefix="0" xfId="0">
      <alignment horizontal="center"/>
    </xf>
    <xf numFmtId="2" fontId="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1" fontId="2" fillId="3" borderId="38" applyAlignment="1" pivotButton="0" quotePrefix="0" xfId="0">
      <alignment horizontal="center" vertical="center"/>
    </xf>
    <xf numFmtId="1" fontId="2" fillId="3" borderId="39" applyAlignment="1" pivotButton="0" quotePrefix="0" xfId="0">
      <alignment horizontal="center" vertical="center"/>
    </xf>
    <xf numFmtId="1" fontId="15" fillId="9" borderId="39" applyAlignment="1" pivotButton="0" quotePrefix="0" xfId="19">
      <alignment horizontal="center" vertical="center"/>
    </xf>
    <xf numFmtId="0" fontId="13" fillId="0" borderId="45" applyAlignment="1" pivotButton="0" quotePrefix="0" xfId="0">
      <alignment horizontal="center" vertical="center"/>
    </xf>
    <xf numFmtId="0" fontId="13" fillId="0" borderId="46" applyAlignment="1" pivotButton="0" quotePrefix="0" xfId="0">
      <alignment horizontal="center" vertical="center"/>
    </xf>
    <xf numFmtId="164" fontId="2" fillId="3" borderId="47" applyAlignment="1" pivotButton="0" quotePrefix="0" xfId="0">
      <alignment horizontal="center" vertical="center"/>
    </xf>
    <xf numFmtId="164" fontId="2" fillId="3" borderId="48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165" fontId="2" fillId="0" borderId="8" applyAlignment="1" applyProtection="1" pivotButton="0" quotePrefix="0" xfId="0">
      <alignment horizontal="center" vertical="center"/>
      <protection locked="0" hidden="0"/>
    </xf>
    <xf numFmtId="2" fontId="2" fillId="0" borderId="29" applyAlignment="1" pivotButton="0" quotePrefix="0" xfId="0">
      <alignment vertical="center" wrapText="1"/>
    </xf>
    <xf numFmtId="2" fontId="2" fillId="0" borderId="49" applyAlignment="1" pivotButton="0" quotePrefix="0" xfId="0">
      <alignment vertical="center" wrapText="1"/>
    </xf>
    <xf numFmtId="164" fontId="2" fillId="3" borderId="50" applyAlignment="1" pivotButton="0" quotePrefix="0" xfId="0">
      <alignment horizontal="center" vertical="center"/>
    </xf>
    <xf numFmtId="0" fontId="0" fillId="3" borderId="51" applyAlignment="1" pivotButton="0" quotePrefix="0" xfId="0">
      <alignment horizontal="center" vertical="center"/>
    </xf>
    <xf numFmtId="0" fontId="0" fillId="3" borderId="13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/>
    </xf>
    <xf numFmtId="0" fontId="0" fillId="3" borderId="9" applyAlignment="1" pivotButton="0" quotePrefix="0" xfId="0">
      <alignment horizontal="center" vertical="center"/>
    </xf>
    <xf numFmtId="0" fontId="7" fillId="0" borderId="0" applyAlignment="1" pivotButton="0" quotePrefix="0" xfId="0">
      <alignment wrapText="1"/>
    </xf>
    <xf numFmtId="0" fontId="0" fillId="3" borderId="1" applyAlignment="1" pivotButton="0" quotePrefix="0" xfId="0">
      <alignment horizontal="center" vertical="center"/>
    </xf>
    <xf numFmtId="164" fontId="2" fillId="3" borderId="7" applyAlignment="1" pivotButton="0" quotePrefix="0" xfId="0">
      <alignment horizontal="center" vertical="center"/>
    </xf>
    <xf numFmtId="0" fontId="0" fillId="3" borderId="39" applyAlignment="1" pivotButton="0" quotePrefix="0" xfId="0">
      <alignment horizontal="center" vertical="center"/>
    </xf>
    <xf numFmtId="1" fontId="3" fillId="7" borderId="50" applyAlignment="1" pivotButton="0" quotePrefix="0" xfId="0">
      <alignment horizontal="center" vertical="center"/>
    </xf>
    <xf numFmtId="1" fontId="3" fillId="7" borderId="1" applyAlignment="1" pivotButton="0" quotePrefix="0" xfId="0">
      <alignment horizontal="center" vertical="center"/>
    </xf>
    <xf numFmtId="0" fontId="13" fillId="10" borderId="55" applyAlignment="1" pivotButton="0" quotePrefix="0" xfId="0">
      <alignment horizontal="center"/>
    </xf>
    <xf numFmtId="1" fontId="2" fillId="3" borderId="56" applyAlignment="1" pivotButton="0" quotePrefix="0" xfId="0">
      <alignment horizontal="center" vertical="center"/>
    </xf>
    <xf numFmtId="0" fontId="0" fillId="3" borderId="57" applyAlignment="1" pivotButton="0" quotePrefix="0" xfId="0">
      <alignment horizontal="center" vertical="center"/>
    </xf>
    <xf numFmtId="164" fontId="2" fillId="3" borderId="57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0" fillId="3" borderId="58" applyAlignment="1" pivotButton="0" quotePrefix="0" xfId="0">
      <alignment horizontal="center" vertical="center"/>
    </xf>
    <xf numFmtId="1" fontId="2" fillId="3" borderId="59" applyAlignment="1" pivotButton="0" quotePrefix="0" xfId="0">
      <alignment horizontal="center" vertical="center"/>
    </xf>
    <xf numFmtId="0" fontId="25" fillId="0" borderId="0" applyAlignment="1" pivotButton="0" quotePrefix="0" xfId="0">
      <alignment wrapText="1"/>
    </xf>
    <xf numFmtId="14" fontId="2" fillId="0" borderId="0" applyAlignment="1" pivotButton="0" quotePrefix="0" xfId="0">
      <alignment horizontal="left"/>
    </xf>
    <xf numFmtId="9" fontId="15" fillId="0" borderId="0" pivotButton="0" quotePrefix="0" xfId="0"/>
    <xf numFmtId="0" fontId="2" fillId="0" borderId="29" applyAlignment="1" applyProtection="1" pivotButton="0" quotePrefix="0" xfId="0">
      <alignment horizontal="center" vertical="center" wrapText="1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horizontal="left" vertical="top" wrapText="1"/>
    </xf>
    <xf numFmtId="0" fontId="20" fillId="0" borderId="0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49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6" borderId="1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1" fontId="3" fillId="7" borderId="30" applyAlignment="1" pivotButton="0" quotePrefix="0" xfId="0">
      <alignment horizontal="center" vertical="center"/>
    </xf>
    <xf numFmtId="1" fontId="3" fillId="7" borderId="32" applyAlignment="1" pivotButton="0" quotePrefix="0" xfId="0">
      <alignment horizontal="center" vertical="center"/>
    </xf>
    <xf numFmtId="1" fontId="3" fillId="7" borderId="31" applyAlignment="1" pivotButton="0" quotePrefix="0" xfId="0">
      <alignment horizontal="center" vertical="center"/>
    </xf>
    <xf numFmtId="0" fontId="0" fillId="3" borderId="15" applyAlignment="1" pivotButton="0" quotePrefix="0" xfId="0">
      <alignment horizontal="center" vertical="center"/>
    </xf>
    <xf numFmtId="0" fontId="0" fillId="3" borderId="16" applyAlignment="1" pivotButton="0" quotePrefix="0" xfId="0">
      <alignment horizontal="center" vertical="center"/>
    </xf>
    <xf numFmtId="0" fontId="0" fillId="3" borderId="17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wrapText="1"/>
    </xf>
    <xf numFmtId="0" fontId="8" fillId="11" borderId="30" applyAlignment="1" pivotButton="0" quotePrefix="0" xfId="0">
      <alignment horizontal="center"/>
    </xf>
    <xf numFmtId="0" fontId="8" fillId="11" borderId="31" applyAlignment="1" pivotButton="0" quotePrefix="0" xfId="0">
      <alignment horizontal="center"/>
    </xf>
    <xf numFmtId="0" fontId="2" fillId="6" borderId="13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wrapText="1"/>
    </xf>
    <xf numFmtId="0" fontId="24" fillId="2" borderId="19" applyAlignment="1" applyProtection="1" pivotButton="0" quotePrefix="0" xfId="0">
      <alignment horizontal="left" vertical="top" wrapText="1"/>
      <protection locked="0" hidden="0"/>
    </xf>
    <xf numFmtId="0" fontId="24" fillId="2" borderId="14" applyAlignment="1" applyProtection="1" pivotButton="0" quotePrefix="0" xfId="0">
      <alignment horizontal="left" vertical="top" wrapText="1"/>
      <protection locked="0" hidden="0"/>
    </xf>
    <xf numFmtId="0" fontId="24" fillId="2" borderId="20" applyAlignment="1" applyProtection="1" pivotButton="0" quotePrefix="0" xfId="0">
      <alignment horizontal="left" vertical="top" wrapText="1"/>
      <protection locked="0" hidden="0"/>
    </xf>
    <xf numFmtId="0" fontId="24" fillId="2" borderId="43" applyAlignment="1" applyProtection="1" pivotButton="0" quotePrefix="0" xfId="0">
      <alignment horizontal="left" vertical="top" wrapText="1"/>
      <protection locked="0" hidden="0"/>
    </xf>
    <xf numFmtId="0" fontId="24" fillId="2" borderId="0" applyAlignment="1" applyProtection="1" pivotButton="0" quotePrefix="0" xfId="0">
      <alignment horizontal="left" vertical="top" wrapText="1"/>
      <protection locked="0" hidden="0"/>
    </xf>
    <xf numFmtId="0" fontId="24" fillId="2" borderId="44" applyAlignment="1" applyProtection="1" pivotButton="0" quotePrefix="0" xfId="0">
      <alignment horizontal="left" vertical="top" wrapText="1"/>
      <protection locked="0" hidden="0"/>
    </xf>
    <xf numFmtId="0" fontId="24" fillId="2" borderId="15" applyAlignment="1" applyProtection="1" pivotButton="0" quotePrefix="0" xfId="0">
      <alignment horizontal="left" vertical="top" wrapText="1"/>
      <protection locked="0" hidden="0"/>
    </xf>
    <xf numFmtId="0" fontId="24" fillId="2" borderId="16" applyAlignment="1" applyProtection="1" pivotButton="0" quotePrefix="0" xfId="0">
      <alignment horizontal="left" vertical="top" wrapText="1"/>
      <protection locked="0" hidden="0"/>
    </xf>
    <xf numFmtId="0" fontId="24" fillId="2" borderId="17" applyAlignment="1" applyProtection="1" pivotButton="0" quotePrefix="0" xfId="0">
      <alignment horizontal="left" vertical="top" wrapText="1"/>
      <protection locked="0" hidden="0"/>
    </xf>
    <xf numFmtId="0" fontId="7" fillId="0" borderId="0" applyAlignment="1" pivotButton="0" quotePrefix="0" xfId="0">
      <alignment horizontal="left" wrapText="1"/>
    </xf>
    <xf numFmtId="0" fontId="8" fillId="11" borderId="32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wrapText="1"/>
    </xf>
    <xf numFmtId="0" fontId="8" fillId="11" borderId="52" applyAlignment="1" pivotButton="0" quotePrefix="0" xfId="0">
      <alignment horizontal="center"/>
    </xf>
    <xf numFmtId="0" fontId="8" fillId="11" borderId="53" applyAlignment="1" pivotButton="0" quotePrefix="0" xfId="0">
      <alignment horizontal="center"/>
    </xf>
    <xf numFmtId="0" fontId="8" fillId="11" borderId="54" applyAlignment="1" pivotButton="0" quotePrefix="0" xfId="0">
      <alignment horizontal="center"/>
    </xf>
    <xf numFmtId="0" fontId="3" fillId="0" borderId="19" applyAlignment="1" pivotButton="0" quotePrefix="0" xfId="0">
      <alignment horizontal="center"/>
    </xf>
    <xf numFmtId="0" fontId="3" fillId="0" borderId="20" applyAlignment="1" pivotButton="0" quotePrefix="0" xfId="0">
      <alignment horizontal="center"/>
    </xf>
    <xf numFmtId="0" fontId="2" fillId="0" borderId="15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15" fillId="5" borderId="0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/>
    </xf>
    <xf numFmtId="0" fontId="8" fillId="11" borderId="60" applyAlignment="1" pivotButton="0" quotePrefix="0" xfId="0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2" fillId="6" borderId="61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165" fontId="2" fillId="0" borderId="8" applyAlignment="1" applyProtection="1" pivotButton="0" quotePrefix="0" xfId="0">
      <alignment horizontal="center" vertical="center"/>
      <protection locked="0" hidden="0"/>
    </xf>
    <xf numFmtId="0" fontId="8" fillId="11" borderId="65" applyAlignment="1" pivotButton="0" quotePrefix="0" xfId="0">
      <alignment horizontal="center"/>
    </xf>
    <xf numFmtId="0" fontId="0" fillId="0" borderId="53" pivotButton="0" quotePrefix="0" xfId="0"/>
    <xf numFmtId="0" fontId="0" fillId="0" borderId="54" pivotButton="0" quotePrefix="0" xfId="0"/>
    <xf numFmtId="164" fontId="2" fillId="3" borderId="50" applyAlignment="1" pivotButton="0" quotePrefix="0" xfId="0">
      <alignment horizontal="center" vertical="center"/>
    </xf>
    <xf numFmtId="164" fontId="2" fillId="3" borderId="57" applyAlignment="1" pivotButton="0" quotePrefix="0" xfId="0">
      <alignment horizontal="center" vertical="center"/>
    </xf>
    <xf numFmtId="164" fontId="2" fillId="3" borderId="7" applyAlignment="1" pivotButton="0" quotePrefix="0" xfId="0">
      <alignment horizontal="center" vertical="center"/>
    </xf>
    <xf numFmtId="0" fontId="0" fillId="0" borderId="1" pivotButton="0" quotePrefix="0" xfId="0"/>
    <xf numFmtId="164" fontId="2" fillId="3" borderId="47" applyAlignment="1" pivotButton="0" quotePrefix="0" xfId="0">
      <alignment horizontal="center" vertical="center"/>
    </xf>
    <xf numFmtId="0" fontId="0" fillId="0" borderId="2" pivotButton="0" quotePrefix="0" xfId="0"/>
    <xf numFmtId="164" fontId="2" fillId="3" borderId="48" applyAlignment="1" pivotButton="0" quotePrefix="0" xfId="0">
      <alignment horizontal="center" vertical="center"/>
    </xf>
    <xf numFmtId="0" fontId="2" fillId="6" borderId="68" applyAlignment="1" pivotButton="0" quotePrefix="0" xfId="0">
      <alignment horizontal="center" vertical="center" wrapText="1"/>
    </xf>
    <xf numFmtId="1" fontId="3" fillId="7" borderId="60" applyAlignment="1" pivotButton="0" quotePrefix="0" xfId="0">
      <alignment horizontal="center" vertical="center"/>
    </xf>
    <xf numFmtId="0" fontId="0" fillId="0" borderId="70" pivotButton="0" quotePrefix="0" xfId="0"/>
    <xf numFmtId="0" fontId="0" fillId="3" borderId="7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3" fillId="0" borderId="72" applyAlignment="1" pivotButton="0" quotePrefix="0" xfId="0">
      <alignment horizontal="center"/>
    </xf>
    <xf numFmtId="0" fontId="0" fillId="0" borderId="20" pivotButton="0" quotePrefix="0" xfId="0"/>
    <xf numFmtId="0" fontId="2" fillId="0" borderId="71" applyAlignment="1" pivotButton="0" quotePrefix="0" xfId="0">
      <alignment horizontal="center"/>
    </xf>
    <xf numFmtId="0" fontId="0" fillId="0" borderId="73" pivotButton="0" quotePrefix="0" xfId="0"/>
    <xf numFmtId="0" fontId="8" fillId="0" borderId="73" applyAlignment="1" pivotButton="0" quotePrefix="0" xfId="0">
      <alignment horizontal="center"/>
    </xf>
    <xf numFmtId="0" fontId="2" fillId="0" borderId="73" applyAlignment="1" pivotButton="0" quotePrefix="0" xfId="0">
      <alignment horizontal="center" vertical="center" wrapText="1"/>
    </xf>
    <xf numFmtId="0" fontId="3" fillId="0" borderId="73" applyAlignment="1" pivotButton="0" quotePrefix="0" xfId="0">
      <alignment horizontal="center" wrapText="1"/>
    </xf>
    <xf numFmtId="0" fontId="3" fillId="0" borderId="73" applyAlignment="1" pivotButton="0" quotePrefix="0" xfId="0">
      <alignment horizontal="center" vertical="center"/>
    </xf>
    <xf numFmtId="1" fontId="3" fillId="0" borderId="73" applyAlignment="1" pivotButton="0" quotePrefix="0" xfId="0">
      <alignment horizontal="center" vertical="center"/>
    </xf>
    <xf numFmtId="0" fontId="2" fillId="0" borderId="73" applyAlignment="1" pivotButton="0" quotePrefix="0" xfId="0">
      <alignment horizontal="center" vertical="center"/>
    </xf>
    <xf numFmtId="1" fontId="2" fillId="0" borderId="73" applyAlignment="1" pivotButton="0" quotePrefix="0" xfId="0">
      <alignment horizontal="center" vertical="center"/>
    </xf>
    <xf numFmtId="0" fontId="2" fillId="0" borderId="73" applyAlignment="1" applyProtection="1" pivotButton="0" quotePrefix="0" xfId="0">
      <alignment horizontal="center" vertical="center" wrapText="1"/>
      <protection locked="0" hidden="0"/>
    </xf>
    <xf numFmtId="0" fontId="2" fillId="0" borderId="73" applyAlignment="1" applyProtection="1" pivotButton="0" quotePrefix="0" xfId="0">
      <alignment horizontal="center" vertical="center"/>
      <protection locked="0" hidden="0"/>
    </xf>
    <xf numFmtId="2" fontId="2" fillId="0" borderId="73" applyAlignment="1" pivotButton="0" quotePrefix="0" xfId="0">
      <alignment horizontal="center" vertical="center"/>
    </xf>
    <xf numFmtId="165" fontId="2" fillId="0" borderId="73" applyAlignment="1" applyProtection="1" pivotButton="0" quotePrefix="0" xfId="0">
      <alignment horizontal="center" vertical="center"/>
      <protection locked="0" hidden="0"/>
    </xf>
    <xf numFmtId="2" fontId="2" fillId="0" borderId="73" applyAlignment="1" pivotButton="0" quotePrefix="0" xfId="0">
      <alignment vertical="center" wrapText="1"/>
    </xf>
    <xf numFmtId="0" fontId="0" fillId="0" borderId="73" applyAlignment="1" pivotButton="0" quotePrefix="0" xfId="0">
      <alignment horizontal="center" vertical="center"/>
    </xf>
    <xf numFmtId="0" fontId="2" fillId="0" borderId="73" applyAlignment="1" pivotButton="0" quotePrefix="0" xfId="0">
      <alignment horizontal="center" wrapText="1"/>
    </xf>
    <xf numFmtId="164" fontId="2" fillId="0" borderId="73" applyAlignment="1" pivotButton="0" quotePrefix="0" xfId="0">
      <alignment horizontal="center" vertical="center"/>
    </xf>
    <xf numFmtId="0" fontId="2" fillId="0" borderId="73" pivotButton="0" quotePrefix="0" xfId="0"/>
    <xf numFmtId="0" fontId="3" fillId="0" borderId="73" applyAlignment="1" pivotButton="0" quotePrefix="0" xfId="0">
      <alignment horizontal="center"/>
    </xf>
    <xf numFmtId="0" fontId="2" fillId="0" borderId="73" applyAlignment="1" pivotButton="0" quotePrefix="0" xfId="0">
      <alignment horizontal="center"/>
    </xf>
    <xf numFmtId="0" fontId="2" fillId="0" borderId="73" applyAlignment="1" pivotButton="0" quotePrefix="0" xfId="0">
      <alignment horizontal="left"/>
    </xf>
    <xf numFmtId="2" fontId="2" fillId="0" borderId="73" applyAlignment="1" applyProtection="1" pivotButton="0" quotePrefix="0" xfId="0">
      <alignment horizontal="center" vertical="center" wrapText="1"/>
      <protection locked="0" hidden="0"/>
    </xf>
    <xf numFmtId="2" fontId="2" fillId="0" borderId="73" applyAlignment="1" applyProtection="1" pivotButton="0" quotePrefix="0" xfId="0">
      <alignment horizontal="center" vertical="center"/>
      <protection locked="0" hidden="0"/>
    </xf>
    <xf numFmtId="2" fontId="2" fillId="0" borderId="73" applyAlignment="1" pivotButton="0" quotePrefix="0" xfId="0">
      <alignment horizontal="center" vertical="center" wrapText="1"/>
    </xf>
    <xf numFmtId="2" fontId="0" fillId="0" borderId="73" applyAlignment="1" pivotButton="0" quotePrefix="0" xfId="0">
      <alignment horizontal="center" vertical="center"/>
    </xf>
    <xf numFmtId="2" fontId="0" fillId="0" borderId="73" pivotButton="0" quotePrefix="0" xfId="0"/>
    <xf numFmtId="0" fontId="8" fillId="0" borderId="74" applyAlignment="1" pivotButton="0" quotePrefix="0" xfId="0">
      <alignment horizontal="center"/>
    </xf>
  </cellXfs>
  <cellStyles count="6">
    <cellStyle name="Normal" xfId="0" builtinId="0"/>
    <cellStyle name="Hyperlink" xfId="1" builtinId="8" hidden="1"/>
    <cellStyle name="Followed Hyperlink" xfId="2" builtinId="9" hidden="1"/>
    <cellStyle name="Normal 2" xfId="3"/>
    <cellStyle name="Normal 3" xfId="4"/>
    <cellStyle name="Good" xfId="5" builtinId="26"/>
  </cellStyles>
  <dxfs count="2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25"/>
  <sheetViews>
    <sheetView tabSelected="1" view="normal" topLeftCell="A1" zoomScaleNormal="85" workbookViewId="0">
      <selection activeCell="A1" sqref="A1"/>
    </sheetView>
  </sheetViews>
  <sheetFormatPr baseColWidth="10" defaultColWidth="3.1640625" defaultRowHeight="14"/>
  <cols>
    <col width="16" customWidth="1" min="1" max="1"/>
    <col width="15" customWidth="1" min="2" max="2"/>
    <col width="12.5" customWidth="1" min="3" max="3"/>
    <col width="11.83203125" customWidth="1" min="4" max="4"/>
    <col width="10.6640625" customWidth="1" min="5" max="5"/>
    <col width="11.6640625" customWidth="1" min="6" max="6"/>
  </cols>
  <sheetData>
    <row r="1" ht="23" customHeight="1">
      <c r="A1" s="209" t="n"/>
      <c r="B1" s="209" t="n"/>
      <c r="C1" s="209" t="n"/>
      <c r="D1" s="209" t="n"/>
      <c r="E1" s="209" t="n"/>
      <c r="F1" s="209" t="n"/>
    </row>
    <row r="2">
      <c r="A2" s="209" t="n"/>
      <c r="B2" s="209" t="n"/>
      <c r="C2" s="209" t="n"/>
      <c r="D2" s="209" t="n"/>
      <c r="E2" s="209" t="n"/>
      <c r="F2" s="209" t="n"/>
    </row>
    <row r="3" ht="13" customHeight="1">
      <c r="A3" s="209" t="n"/>
      <c r="B3" s="209" t="n"/>
      <c r="C3" s="209" t="n"/>
      <c r="D3" s="209" t="n"/>
      <c r="E3" s="209" t="n"/>
      <c r="F3" s="209" t="n"/>
    </row>
    <row r="4" ht="16" customHeight="1">
      <c r="A4" s="209" t="n"/>
      <c r="B4" s="209" t="n"/>
      <c r="C4" s="209" t="n"/>
      <c r="D4" s="209" t="n"/>
      <c r="E4" s="209" t="n"/>
      <c r="F4" s="209" t="n"/>
    </row>
    <row r="5" ht="13" customHeight="1">
      <c r="A5" s="209" t="n"/>
      <c r="B5" s="209" t="n"/>
      <c r="C5" s="209" t="n"/>
      <c r="D5" s="209" t="n"/>
      <c r="E5" s="209" t="n"/>
      <c r="F5" s="209" t="n"/>
    </row>
    <row r="6" ht="15" customHeight="1">
      <c r="A6" s="209" t="n"/>
      <c r="B6" s="209" t="n"/>
      <c r="C6" s="209" t="n"/>
      <c r="D6" s="209" t="n"/>
      <c r="E6" s="209" t="n"/>
      <c r="F6" s="209" t="n"/>
    </row>
    <row r="7" ht="13" customHeight="1">
      <c r="A7" s="209" t="n"/>
      <c r="B7" s="209" t="n"/>
      <c r="C7" s="209" t="n"/>
      <c r="D7" s="209" t="n"/>
      <c r="E7" s="209" t="n"/>
      <c r="F7" s="209" t="n"/>
    </row>
    <row r="8" ht="13" customHeight="1">
      <c r="A8" s="209" t="n"/>
      <c r="B8" s="209" t="n"/>
      <c r="C8" s="209" t="n"/>
      <c r="D8" s="209" t="n"/>
      <c r="E8" s="209" t="n"/>
      <c r="F8" s="209" t="n"/>
    </row>
    <row r="9" ht="14" customHeight="1">
      <c r="A9" s="209" t="n"/>
      <c r="B9" s="209" t="n"/>
      <c r="C9" s="209" t="n"/>
      <c r="D9" s="209" t="n"/>
      <c r="E9" s="209" t="n"/>
      <c r="F9" s="209" t="n"/>
    </row>
    <row r="10" ht="21" customHeight="1">
      <c r="A10" s="209" t="n"/>
      <c r="B10" s="209" t="n"/>
      <c r="C10" s="209" t="n"/>
      <c r="D10" s="209" t="n"/>
      <c r="E10" s="209" t="n"/>
      <c r="F10" s="209" t="n"/>
    </row>
    <row r="11" ht="5" customHeight="1" thickBot="1">
      <c r="A11" s="209" t="n"/>
      <c r="B11" s="209" t="n"/>
      <c r="C11" s="209" t="n"/>
      <c r="D11" s="209" t="n"/>
      <c r="E11" s="209" t="n"/>
      <c r="F11" s="209" t="n"/>
    </row>
    <row r="12" ht="18" customHeight="1" thickBot="1">
      <c r="A12" s="209" t="n"/>
      <c r="B12" s="209" t="n"/>
      <c r="C12" s="210" t="inlineStr">
        <is>
          <t xml:space="preserve">Head Coil </t>
        </is>
      </c>
      <c r="D12" s="234" t="inlineStr">
        <is>
          <t xml:space="preserve">Body coil </t>
        </is>
      </c>
    </row>
    <row r="13" ht="14" customHeight="1">
      <c r="A13" s="211" t="inlineStr">
        <is>
          <t>Signal Parameters</t>
        </is>
      </c>
      <c r="B13" s="212" t="inlineStr">
        <is>
          <t>Test</t>
        </is>
      </c>
      <c r="C13" s="214" t="inlineStr">
        <is>
          <t>Tra</t>
        </is>
      </c>
      <c r="D13" s="214" t="inlineStr">
        <is>
          <t>Tra</t>
        </is>
      </c>
      <c r="E13" s="214" t="inlineStr">
        <is>
          <t>Sag</t>
        </is>
      </c>
      <c r="F13" s="214" t="inlineStr">
        <is>
          <t>Cor</t>
        </is>
      </c>
    </row>
    <row r="14" ht="17" customHeight="1">
      <c r="B14" s="211" t="inlineStr">
        <is>
          <t>Measured SNR*</t>
        </is>
      </c>
      <c r="C14" s="219" t="n"/>
      <c r="D14" s="219" t="n"/>
      <c r="E14" s="219" t="n"/>
      <c r="F14" s="219" t="n"/>
    </row>
    <row r="15" ht="17" customHeight="1">
      <c r="B15" s="211" t="inlineStr">
        <is>
          <t>Normalised SNR*</t>
        </is>
      </c>
      <c r="C15" s="219" t="n"/>
      <c r="D15" s="219" t="n"/>
      <c r="E15" s="219" t="n"/>
      <c r="F15" s="219" t="n"/>
    </row>
    <row r="16" ht="15" customHeight="1" thickBot="1">
      <c r="B16" s="211" t="inlineStr">
        <is>
          <t>Uniformity (%)</t>
        </is>
      </c>
      <c r="C16" s="219" t="n"/>
      <c r="D16" s="219" t="n"/>
      <c r="E16" s="219" t="n"/>
      <c r="F16" s="219" t="n"/>
    </row>
    <row r="17" ht="18" customHeight="1" thickBot="1">
      <c r="B17" s="211" t="inlineStr">
        <is>
          <t xml:space="preserve">Ghosting [%] </t>
        </is>
      </c>
      <c r="C17" s="219" t="n"/>
      <c r="D17" s="219" t="n"/>
      <c r="E17" s="219" t="n"/>
      <c r="F17" s="219" t="n"/>
    </row>
    <row r="18" ht="18" customHeight="1">
      <c r="A18" s="211" t="n"/>
      <c r="B18" s="211" t="n"/>
      <c r="C18" s="219" t="n"/>
      <c r="D18" s="219" t="n"/>
      <c r="E18" s="219" t="n"/>
      <c r="F18" s="219" t="n"/>
    </row>
    <row r="19" ht="16" customHeight="1">
      <c r="A19" s="221" t="n"/>
      <c r="B19" s="221" t="n"/>
      <c r="C19" s="210" t="inlineStr">
        <is>
          <t xml:space="preserve">Head Coil </t>
        </is>
      </c>
      <c r="D19" s="234" t="inlineStr">
        <is>
          <t xml:space="preserve">Body coil </t>
        </is>
      </c>
    </row>
    <row r="20" ht="14" customHeight="1">
      <c r="A20" s="211" t="inlineStr">
        <is>
          <t>Geometric Parameters</t>
        </is>
      </c>
      <c r="B20" s="212" t="inlineStr">
        <is>
          <t>Test</t>
        </is>
      </c>
      <c r="C20" s="214" t="inlineStr">
        <is>
          <t>Tra</t>
        </is>
      </c>
      <c r="D20" s="214" t="inlineStr">
        <is>
          <t>Tra</t>
        </is>
      </c>
      <c r="E20" s="214" t="inlineStr">
        <is>
          <t>Sag</t>
        </is>
      </c>
      <c r="F20" s="214" t="inlineStr">
        <is>
          <t>Cor</t>
        </is>
      </c>
    </row>
    <row r="21" ht="29.25" customHeight="1">
      <c r="B21" s="211" t="inlineStr">
        <is>
          <t xml:space="preserve">Spatial resolution </t>
        </is>
      </c>
      <c r="C21" s="232" t="n"/>
      <c r="D21" s="219" t="n"/>
      <c r="E21" s="232" t="n"/>
      <c r="F21" s="232" t="n"/>
    </row>
    <row r="22" ht="28" customHeight="1">
      <c r="B22" s="211" t="inlineStr">
        <is>
          <t>Geometric accuracy</t>
        </is>
      </c>
      <c r="C22" s="232">
        <f>'Geometric accuracy'!B18</f>
        <v/>
      </c>
      <c r="D22" s="232">
        <f>'Geometric accuracy'!B32</f>
        <v/>
      </c>
      <c r="E22" s="232">
        <f>'Geometric accuracy'!B46</f>
        <v/>
      </c>
      <c r="F22" s="232">
        <f>'Geometric accuracy'!B60</f>
        <v/>
      </c>
    </row>
    <row r="23" ht="15" customHeight="1">
      <c r="A23" s="211" t="inlineStr">
        <is>
          <t>Slice Parameters</t>
        </is>
      </c>
      <c r="B23" s="223" t="inlineStr">
        <is>
          <t>Slice thickness</t>
        </is>
      </c>
      <c r="C23" s="219" t="n"/>
      <c r="D23" s="219" t="n"/>
      <c r="E23" s="219" t="n"/>
      <c r="F23" s="219" t="n"/>
    </row>
    <row r="24" ht="28" customFormat="1" customHeight="1" s="75">
      <c r="B24" s="211" t="inlineStr">
        <is>
          <t>Slice position (slice 1)</t>
        </is>
      </c>
      <c r="C24" s="219" t="n"/>
      <c r="D24" s="219" t="n"/>
      <c r="E24" s="232" t="n"/>
      <c r="F24" s="232" t="n"/>
    </row>
    <row r="25" ht="29" customFormat="1" customHeight="1" s="75" thickBot="1">
      <c r="B25" s="211" t="inlineStr">
        <is>
          <t>Slice position (slice 11)</t>
        </is>
      </c>
      <c r="C25" s="219" t="n"/>
      <c r="D25" s="219" t="n"/>
      <c r="E25" s="232" t="n"/>
      <c r="F25" s="232" t="n"/>
    </row>
    <row r="26" thickBot="1"/>
    <row r="27" thickBot="1"/>
    <row r="28" thickBot="1"/>
    <row r="29" ht="13" customHeight="1"/>
    <row r="30" ht="18" customHeight="1"/>
    <row r="31" ht="14" customHeight="1"/>
    <row r="32" ht="23" customHeight="1"/>
    <row r="33" ht="21" customHeight="1"/>
    <row r="35" ht="17" customHeight="1"/>
    <row r="36" ht="13" customHeight="1"/>
    <row r="37" ht="187" customHeight="1"/>
    <row r="38" ht="24" customHeight="1"/>
    <row r="39" ht="19" customHeight="1" thickBot="1"/>
    <row r="40" ht="13" customHeight="1"/>
    <row r="41" ht="13" customHeight="1"/>
    <row r="42" ht="13" customHeight="1"/>
    <row r="43" ht="13" customHeight="1"/>
    <row r="44" ht="14" customHeight="1" thickBot="1"/>
    <row r="45" thickBot="1"/>
    <row r="46" ht="22" customHeight="1"/>
    <row r="47" ht="29" customHeight="1" thickBot="1"/>
    <row r="48" ht="15" customHeight="1"/>
    <row r="49" ht="13" customHeight="1"/>
    <row r="50" ht="13" customHeight="1"/>
    <row r="51" ht="13" customHeight="1"/>
    <row r="52" ht="13" customHeight="1"/>
    <row r="53" ht="13" customHeight="1"/>
    <row r="54" ht="13" customHeight="1"/>
    <row r="55" ht="13" customHeight="1"/>
    <row r="56" ht="13" customHeight="1"/>
    <row r="57" ht="13" customHeight="1"/>
    <row r="58" ht="13" customHeight="1"/>
    <row r="59" ht="13" customHeight="1"/>
    <row r="60" ht="13" customHeight="1"/>
    <row r="61" ht="13" customHeight="1"/>
    <row r="62" ht="13" customHeight="1"/>
    <row r="63" ht="13" customHeight="1"/>
    <row r="64" ht="13" customHeight="1"/>
    <row r="65" ht="13" customHeight="1"/>
    <row r="66" ht="13" customHeight="1"/>
    <row r="67" ht="13" customHeight="1"/>
    <row r="68" ht="13" customHeight="1"/>
    <row r="69" ht="13" customHeight="1"/>
    <row r="70" ht="13" customHeight="1"/>
    <row r="71" ht="13" customHeight="1"/>
    <row r="72" ht="13" customHeight="1"/>
    <row r="73" ht="13" customHeight="1"/>
    <row r="74" ht="13" customHeight="1"/>
    <row r="75" ht="13" customHeight="1"/>
    <row r="76" ht="13" customHeight="1"/>
    <row r="77" ht="13" customHeight="1"/>
    <row r="78" ht="13" customHeight="1"/>
    <row r="79" ht="13" customHeight="1"/>
    <row r="80" ht="13" customHeight="1"/>
    <row r="81" ht="13" customHeight="1"/>
    <row r="82" ht="13" customHeight="1"/>
    <row r="83" ht="13" customHeight="1"/>
    <row r="84" ht="13" customHeight="1"/>
    <row r="85" ht="13" customHeight="1"/>
    <row r="86" ht="13" customHeight="1"/>
    <row r="87" ht="13" customHeight="1"/>
    <row r="88" ht="13" customHeight="1"/>
    <row r="89" ht="13" customHeight="1"/>
    <row r="90" ht="13" customHeight="1"/>
    <row r="91" ht="13" customHeight="1"/>
    <row r="92" ht="13" customHeight="1"/>
    <row r="93" ht="13" customHeight="1"/>
    <row r="94" ht="13" customHeight="1"/>
    <row r="95" ht="13" customHeight="1"/>
    <row r="96" ht="13" customHeight="1"/>
    <row r="97" ht="13" customHeight="1"/>
    <row r="98" ht="13" customHeight="1"/>
    <row r="99" ht="13" customHeight="1"/>
    <row r="100" ht="13" customHeight="1"/>
    <row r="101" ht="13" customHeight="1"/>
    <row r="102" ht="13" customHeight="1"/>
    <row r="103" ht="13" customHeight="1"/>
    <row r="104" ht="13" customHeight="1"/>
    <row r="105" ht="13" customHeight="1"/>
    <row r="106" ht="13" customHeight="1"/>
    <row r="107" ht="13" customHeight="1"/>
    <row r="108" ht="13" customHeight="1"/>
    <row r="109" ht="13" customHeight="1"/>
    <row r="110" ht="13" customHeight="1"/>
    <row r="111" ht="13" customHeight="1"/>
    <row r="112" ht="13" customHeight="1"/>
    <row r="113" ht="13" customHeight="1"/>
    <row r="114" ht="13" customHeight="1"/>
    <row r="115" ht="13" customHeight="1"/>
    <row r="116" ht="13" customHeight="1"/>
    <row r="117" ht="13" customHeight="1"/>
    <row r="118" ht="13" customHeight="1"/>
    <row r="119" ht="13" customHeight="1"/>
    <row r="120" ht="13" customHeight="1"/>
    <row r="121" ht="13" customHeight="1"/>
    <row r="122" ht="13" customHeight="1"/>
    <row r="123" ht="13" customHeight="1"/>
    <row r="124" ht="13" customHeight="1"/>
    <row r="125" ht="13" customHeight="1"/>
    <row r="126" ht="13" customHeight="1"/>
    <row r="127" ht="13" customHeight="1"/>
    <row r="128" ht="13" customHeight="1"/>
    <row r="129" ht="13" customHeight="1"/>
    <row r="130" ht="13" customHeight="1"/>
    <row r="131" ht="13" customHeight="1"/>
    <row r="132" ht="13" customHeight="1"/>
    <row r="133" ht="13" customHeight="1"/>
    <row r="134" ht="13" customHeight="1"/>
    <row r="135" ht="13" customHeight="1"/>
    <row r="136" ht="13" customHeight="1"/>
    <row r="137" ht="13" customHeight="1"/>
    <row r="138" ht="13" customHeight="1"/>
    <row r="139" ht="13" customHeight="1"/>
    <row r="140" ht="13" customHeight="1"/>
    <row r="141" ht="13" customHeight="1"/>
    <row r="142" ht="13" customHeight="1"/>
    <row r="143" ht="13" customHeight="1"/>
    <row r="144" ht="13" customHeight="1"/>
    <row r="145" ht="13" customHeight="1"/>
    <row r="146" ht="13" customHeight="1"/>
    <row r="147" ht="13" customHeight="1"/>
    <row r="148" ht="13" customHeight="1"/>
    <row r="149" ht="13" customHeight="1"/>
    <row r="150" ht="13" customHeight="1"/>
    <row r="151" ht="13" customHeight="1"/>
    <row r="152" ht="13" customHeight="1"/>
    <row r="153" ht="13" customHeight="1"/>
    <row r="154" ht="13" customHeight="1"/>
    <row r="155" ht="13" customHeight="1"/>
    <row r="156" ht="13" customHeight="1"/>
    <row r="157" ht="13" customHeight="1"/>
    <row r="158" ht="13" customHeight="1"/>
    <row r="159" ht="13" customHeight="1"/>
    <row r="160" ht="13" customHeight="1"/>
    <row r="161" ht="13" customHeight="1"/>
    <row r="162" ht="13" customHeight="1"/>
    <row r="163" ht="13" customHeight="1"/>
    <row r="164" ht="13" customHeight="1"/>
    <row r="165" ht="13" customHeight="1"/>
    <row r="166" ht="13" customHeight="1"/>
    <row r="167" ht="13" customHeight="1"/>
    <row r="168" ht="13" customHeight="1"/>
    <row r="169" ht="13" customHeight="1"/>
    <row r="170" ht="13" customHeight="1"/>
    <row r="171" ht="13" customHeight="1"/>
    <row r="172" ht="13" customHeight="1"/>
    <row r="173" ht="13" customHeight="1"/>
    <row r="174" ht="13" customHeight="1"/>
    <row r="175" ht="13" customHeight="1"/>
    <row r="176" ht="13" customHeight="1"/>
    <row r="177" ht="13" customHeight="1"/>
    <row r="178" ht="13" customHeight="1"/>
    <row r="179" ht="13" customHeight="1"/>
    <row r="180" ht="13" customHeight="1"/>
    <row r="181" ht="13" customHeight="1"/>
    <row r="182" ht="13" customHeight="1"/>
    <row r="183" ht="13" customHeight="1"/>
    <row r="184" ht="13" customHeight="1"/>
    <row r="185" ht="13" customHeight="1"/>
    <row r="186" ht="13" customHeight="1"/>
    <row r="187" ht="13" customHeight="1"/>
    <row r="188" ht="13" customHeight="1"/>
    <row r="189" ht="13" customHeight="1"/>
    <row r="190" ht="13" customHeight="1"/>
    <row r="191" ht="13" customHeight="1"/>
    <row r="192" ht="13" customHeight="1"/>
    <row r="193" ht="13" customHeight="1"/>
    <row r="194" ht="13" customHeight="1"/>
    <row r="195" ht="13" customHeight="1"/>
    <row r="196" ht="13" customHeight="1"/>
    <row r="197" ht="13" customHeight="1"/>
    <row r="198" ht="13" customHeight="1"/>
    <row r="199" ht="13" customHeight="1"/>
    <row r="200" ht="13" customHeight="1"/>
    <row r="201" ht="13" customHeight="1"/>
    <row r="202" ht="13" customHeight="1"/>
    <row r="203" ht="13" customHeight="1"/>
    <row r="204" ht="13" customHeight="1"/>
    <row r="205" ht="13" customHeight="1"/>
    <row r="206" ht="13" customHeight="1"/>
    <row r="207" ht="13" customHeight="1"/>
    <row r="208" ht="13" customHeight="1"/>
    <row r="209" ht="13" customHeight="1"/>
    <row r="210" ht="13" customHeight="1"/>
    <row r="211" ht="13" customHeight="1"/>
    <row r="212" ht="13" customHeight="1"/>
    <row r="213" ht="13" customHeight="1"/>
    <row r="214" ht="13" customHeight="1"/>
    <row r="215" ht="13" customHeight="1"/>
    <row r="216" ht="13" customHeight="1"/>
    <row r="217" ht="13" customHeight="1"/>
    <row r="218" ht="13" customHeight="1"/>
    <row r="219" ht="13" customHeight="1"/>
    <row r="220" ht="13" customHeight="1"/>
    <row r="221" ht="13" customHeight="1"/>
    <row r="222" ht="13" customHeight="1"/>
    <row r="223" ht="13" customHeight="1"/>
    <row r="224" ht="13" customHeight="1"/>
    <row r="225" ht="13" customHeight="1"/>
    <row r="226" ht="13" customHeight="1"/>
    <row r="227" ht="13" customHeight="1"/>
    <row r="228" ht="13" customHeight="1"/>
    <row r="229" ht="13" customHeight="1"/>
    <row r="230" ht="13" customHeight="1"/>
    <row r="231" ht="13" customHeight="1"/>
    <row r="232" ht="13" customHeight="1"/>
    <row r="233" ht="13" customHeight="1"/>
    <row r="234" ht="13" customHeight="1"/>
    <row r="235" ht="13" customHeight="1"/>
    <row r="236" ht="13" customHeight="1"/>
    <row r="237" ht="13" customHeight="1"/>
    <row r="238" ht="13" customHeight="1"/>
    <row r="239" ht="13" customHeight="1"/>
    <row r="240" ht="13" customHeight="1"/>
    <row r="241" ht="13" customHeight="1"/>
    <row r="242" ht="13" customHeight="1"/>
    <row r="243" ht="13" customHeight="1"/>
    <row r="244" ht="13" customHeight="1"/>
    <row r="245" ht="13" customHeight="1"/>
    <row r="246" ht="13" customHeight="1"/>
    <row r="247" ht="13" customHeight="1"/>
    <row r="248" ht="13" customHeight="1"/>
    <row r="249" ht="13" customHeight="1"/>
    <row r="250" ht="13" customHeight="1"/>
    <row r="251" ht="13" customHeight="1"/>
    <row r="252" ht="13" customHeight="1"/>
    <row r="253" ht="13" customHeight="1"/>
    <row r="254" ht="13" customHeight="1"/>
    <row r="255" ht="13" customHeight="1"/>
    <row r="256" ht="13" customHeight="1"/>
    <row r="257" ht="13" customHeight="1"/>
    <row r="258" ht="13" customHeight="1"/>
    <row r="259" ht="13" customHeight="1"/>
    <row r="260" ht="13" customHeight="1"/>
    <row r="261" ht="13" customHeight="1"/>
    <row r="262" ht="13" customHeight="1"/>
    <row r="263" ht="13" customHeight="1"/>
    <row r="264" ht="13" customHeight="1"/>
    <row r="265" ht="13" customHeight="1"/>
    <row r="266" ht="13" customHeight="1"/>
    <row r="267" ht="13" customHeight="1"/>
    <row r="268" ht="13" customHeight="1"/>
    <row r="269" ht="13" customHeight="1"/>
    <row r="270" ht="13" customHeight="1"/>
    <row r="271" ht="13" customHeight="1"/>
    <row r="272" ht="13" customHeight="1"/>
    <row r="273" ht="13" customHeight="1"/>
    <row r="274" ht="13" customHeight="1"/>
    <row r="275" ht="13" customHeight="1"/>
    <row r="276" ht="13" customHeight="1"/>
    <row r="277" ht="13" customHeight="1"/>
    <row r="278" ht="13" customHeight="1"/>
    <row r="279" ht="13" customHeight="1"/>
    <row r="280" ht="13" customHeight="1"/>
    <row r="281" ht="13" customHeight="1"/>
    <row r="282" ht="13" customHeight="1"/>
    <row r="283" ht="13" customHeight="1"/>
    <row r="284" ht="13" customHeight="1"/>
    <row r="285" ht="13" customHeight="1"/>
    <row r="286" ht="13" customHeight="1"/>
    <row r="287" ht="13" customHeight="1"/>
    <row r="288" ht="13" customHeight="1"/>
    <row r="289" ht="13" customHeight="1"/>
    <row r="290" ht="13" customHeight="1"/>
    <row r="291" ht="13" customHeight="1"/>
    <row r="292" ht="13" customHeight="1"/>
    <row r="293" ht="13" customHeight="1"/>
    <row r="294" ht="13" customHeight="1"/>
    <row r="295" ht="13" customHeight="1"/>
    <row r="296" ht="13" customHeight="1"/>
    <row r="297" ht="13" customHeight="1"/>
    <row r="298" ht="13" customHeight="1"/>
    <row r="299" ht="13" customHeight="1"/>
    <row r="300" ht="13" customHeight="1"/>
    <row r="301" ht="13" customHeight="1"/>
    <row r="302" ht="13" customHeight="1"/>
    <row r="303" ht="13" customHeight="1"/>
    <row r="304" ht="13" customHeight="1"/>
    <row r="305" ht="13" customHeight="1"/>
    <row r="306" ht="13" customHeight="1"/>
    <row r="307" ht="13" customHeight="1"/>
    <row r="308" ht="13" customHeight="1"/>
    <row r="309" ht="13" customHeight="1"/>
    <row r="310" ht="13" customHeight="1"/>
    <row r="311" ht="13" customHeight="1"/>
    <row r="312" ht="13" customHeight="1"/>
    <row r="313" ht="13" customHeight="1"/>
    <row r="314" ht="13" customHeight="1"/>
    <row r="315" ht="13" customHeight="1"/>
    <row r="316" ht="13" customHeight="1"/>
    <row r="317" ht="13" customHeight="1"/>
    <row r="318" ht="13" customHeight="1"/>
    <row r="319" ht="13" customHeight="1"/>
    <row r="320" ht="13" customHeight="1"/>
    <row r="321" ht="13" customHeight="1"/>
    <row r="322" ht="13" customHeight="1"/>
    <row r="323" ht="13" customHeight="1"/>
    <row r="324" ht="13" customHeight="1"/>
    <row r="325" ht="13" customHeight="1"/>
    <row r="326" ht="13" customHeight="1"/>
    <row r="327" ht="13" customHeight="1"/>
    <row r="328" ht="13" customHeight="1"/>
    <row r="329" ht="13" customHeight="1"/>
    <row r="330" ht="13" customHeight="1"/>
    <row r="331" ht="13" customHeight="1"/>
    <row r="332" ht="13" customHeight="1"/>
    <row r="333" ht="13" customHeight="1"/>
    <row r="334" ht="13" customHeight="1"/>
    <row r="335" ht="13" customHeight="1"/>
    <row r="336" ht="13" customHeight="1"/>
    <row r="337" ht="13" customHeight="1"/>
    <row r="338" ht="13" customHeight="1"/>
    <row r="339" ht="13" customHeight="1"/>
    <row r="340" ht="13" customHeight="1"/>
    <row r="341" ht="13" customHeight="1"/>
    <row r="342" ht="13" customHeight="1"/>
    <row r="343" ht="13" customHeight="1"/>
    <row r="344" ht="13" customHeight="1"/>
    <row r="345" ht="13" customHeight="1"/>
    <row r="346" ht="13" customHeight="1"/>
    <row r="347" ht="13" customHeight="1"/>
    <row r="348" ht="13" customHeight="1"/>
    <row r="349" ht="13" customHeight="1"/>
    <row r="350" ht="13" customHeight="1"/>
    <row r="351" ht="13" customHeight="1"/>
    <row r="352" ht="13" customHeight="1"/>
    <row r="353" ht="13" customHeight="1"/>
    <row r="354" ht="13" customHeight="1"/>
    <row r="355" ht="13" customHeight="1"/>
    <row r="356" ht="13" customHeight="1"/>
    <row r="357" ht="13" customHeight="1"/>
    <row r="358" ht="13" customHeight="1"/>
    <row r="359" ht="13" customHeight="1"/>
    <row r="360" ht="13" customHeight="1"/>
    <row r="361" ht="13" customHeight="1"/>
    <row r="362" ht="13" customHeight="1"/>
    <row r="363" ht="13" customHeight="1"/>
    <row r="364" ht="13" customHeight="1"/>
    <row r="365" ht="13" customHeight="1"/>
    <row r="366" ht="13" customHeight="1"/>
    <row r="367" ht="13" customHeight="1"/>
    <row r="368" ht="13" customHeight="1"/>
    <row r="369" ht="13" customHeight="1"/>
    <row r="370" ht="13" customHeight="1"/>
    <row r="371" ht="13" customHeight="1"/>
    <row r="372" ht="13" customHeight="1"/>
    <row r="373" ht="13" customHeight="1"/>
    <row r="374" ht="13" customHeight="1"/>
    <row r="375" ht="13" customHeight="1"/>
    <row r="376" ht="13" customHeight="1"/>
    <row r="377" ht="13" customHeight="1"/>
    <row r="378" ht="13" customHeight="1"/>
    <row r="379" ht="13" customHeight="1"/>
    <row r="380" ht="13" customHeight="1"/>
    <row r="381" ht="13" customHeight="1"/>
    <row r="382" ht="13" customHeight="1"/>
    <row r="383" ht="13" customHeight="1"/>
    <row r="384" ht="13" customHeight="1"/>
    <row r="385" ht="13" customHeight="1"/>
    <row r="386" ht="13" customHeight="1"/>
    <row r="387" ht="13" customHeight="1"/>
    <row r="388" ht="13" customHeight="1"/>
    <row r="389" ht="13" customHeight="1"/>
    <row r="390" ht="13" customHeight="1"/>
    <row r="391" ht="13" customHeight="1"/>
    <row r="392" ht="13" customHeight="1"/>
    <row r="393" ht="13" customHeight="1"/>
    <row r="394" ht="13" customHeight="1"/>
    <row r="395" ht="13" customHeight="1"/>
    <row r="396" ht="13" customHeight="1"/>
    <row r="397" ht="13" customHeight="1"/>
    <row r="398" ht="13" customHeight="1"/>
    <row r="399" ht="13" customHeight="1"/>
    <row r="400" ht="13" customHeight="1"/>
    <row r="401" ht="13" customHeight="1"/>
    <row r="402" ht="13" customHeight="1"/>
    <row r="403" ht="13" customHeight="1"/>
    <row r="404" ht="13" customHeight="1"/>
    <row r="405" ht="13" customHeight="1"/>
    <row r="406" ht="13" customHeight="1"/>
    <row r="407" ht="13" customHeight="1"/>
    <row r="408" ht="13" customHeight="1"/>
    <row r="409" ht="13" customHeight="1"/>
    <row r="410" ht="13" customHeight="1"/>
    <row r="411" ht="13" customHeight="1"/>
    <row r="412" ht="13" customHeight="1"/>
    <row r="413" ht="13" customHeight="1"/>
    <row r="414" ht="13" customHeight="1"/>
    <row r="415" ht="13" customHeight="1"/>
    <row r="416" ht="13" customHeight="1"/>
    <row r="417" ht="13" customHeight="1"/>
    <row r="418" ht="13" customHeight="1"/>
    <row r="419" ht="13" customHeight="1"/>
    <row r="420" ht="13" customHeight="1"/>
    <row r="421" ht="13" customHeight="1"/>
    <row r="422" ht="13" customHeight="1"/>
    <row r="423" ht="13" customHeight="1"/>
    <row r="424" ht="13" customHeight="1"/>
    <row r="425" ht="13" customHeight="1"/>
    <row r="426" ht="13" customHeight="1"/>
    <row r="427" ht="13" customHeight="1"/>
    <row r="428" ht="13" customHeight="1"/>
    <row r="429" ht="13" customHeight="1"/>
    <row r="430" ht="13" customHeight="1"/>
    <row r="431" ht="13" customHeight="1"/>
    <row r="432" ht="13" customHeight="1"/>
    <row r="433" ht="13" customHeight="1"/>
    <row r="434" ht="13" customHeight="1"/>
    <row r="435" ht="13" customHeight="1"/>
    <row r="436" ht="13" customHeight="1"/>
    <row r="437" ht="13" customHeight="1"/>
    <row r="438" ht="13" customHeight="1"/>
    <row r="439" ht="13" customHeight="1"/>
    <row r="440" ht="13" customHeight="1"/>
    <row r="441" ht="13" customHeight="1"/>
    <row r="442" ht="13" customHeight="1"/>
    <row r="443" ht="13" customHeight="1"/>
    <row r="444" ht="13" customHeight="1"/>
    <row r="445" ht="13" customHeight="1"/>
    <row r="446" ht="13" customHeight="1"/>
    <row r="447" ht="13" customHeight="1"/>
    <row r="448" ht="13" customHeight="1"/>
    <row r="449" ht="13" customHeight="1"/>
    <row r="450" ht="13" customHeight="1"/>
    <row r="451" ht="13" customHeight="1"/>
    <row r="452" ht="13" customHeight="1"/>
    <row r="453" ht="13" customHeight="1"/>
    <row r="454" ht="13" customHeight="1"/>
    <row r="455" ht="13" customHeight="1"/>
    <row r="456" ht="13" customHeight="1"/>
    <row r="457" ht="13" customHeight="1"/>
  </sheetData>
  <mergeCells count="5">
    <mergeCell ref="D19:F19"/>
    <mergeCell ref="A20:A22"/>
    <mergeCell ref="D12:F12"/>
    <mergeCell ref="A23:A25"/>
    <mergeCell ref="A13:A17"/>
  </mergeCells>
  <dataValidations count="1">
    <dataValidation sqref="C21 D21:F21" showDropDown="0" showInputMessage="1" showErrorMessage="1" allowBlank="1" type="list">
      <formula1>"0.9, 1.0, 1.1"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C61"/>
  <sheetViews>
    <sheetView view="normal" topLeftCell="A1" zoomScaleNormal="100" workbookViewId="0">
      <selection activeCell="A1" sqref="A1"/>
    </sheetView>
  </sheetViews>
  <sheetFormatPr baseColWidth="10" defaultColWidth="8.83203125" defaultRowHeight="13"/>
  <cols>
    <col width="18.83203125" customWidth="1" min="1" max="1"/>
  </cols>
  <sheetData>
    <row r="1" ht="14" customHeight="1" thickBot="1">
      <c r="A1" s="209" t="n"/>
      <c r="B1" s="209" t="n"/>
      <c r="C1" s="209" t="n"/>
    </row>
    <row r="2">
      <c r="A2" s="209" t="n"/>
      <c r="B2" s="209" t="n"/>
      <c r="C2" s="209" t="n"/>
    </row>
    <row r="3" ht="13" customHeight="1">
      <c r="A3" s="209" t="n"/>
      <c r="B3" s="209" t="n"/>
      <c r="C3" s="209" t="n"/>
    </row>
    <row r="4">
      <c r="A4" s="209" t="n"/>
      <c r="B4" s="209" t="n"/>
      <c r="C4" s="209" t="n"/>
    </row>
    <row r="5">
      <c r="A5" s="209" t="n"/>
      <c r="B5" s="209" t="n"/>
      <c r="C5" s="209" t="n"/>
    </row>
    <row r="6">
      <c r="A6" s="209" t="n"/>
      <c r="B6" s="209" t="n"/>
      <c r="C6" s="209" t="n"/>
    </row>
    <row r="7" ht="14" customHeight="1" thickBot="1">
      <c r="A7" s="209" t="n"/>
      <c r="B7" s="209" t="n"/>
      <c r="C7" s="209" t="n"/>
    </row>
    <row r="8">
      <c r="A8" s="225" t="inlineStr">
        <is>
          <t>Plane:</t>
        </is>
      </c>
      <c r="B8" s="226" t="inlineStr">
        <is>
          <t>TRA</t>
        </is>
      </c>
    </row>
    <row r="9" ht="14" customHeight="1" thickBot="1">
      <c r="A9" s="225" t="inlineStr">
        <is>
          <t>Coil:</t>
        </is>
      </c>
      <c r="B9" s="227" t="inlineStr">
        <is>
          <t>Head</t>
        </is>
      </c>
    </row>
    <row r="10">
      <c r="A10" s="209" t="n"/>
      <c r="B10" s="209" t="n"/>
      <c r="C10" s="209" t="n"/>
    </row>
    <row r="11" ht="14" customHeight="1" thickBot="1">
      <c r="A11" s="228" t="n"/>
      <c r="B11" s="226" t="inlineStr">
        <is>
          <t>Hazen</t>
        </is>
      </c>
      <c r="C11" s="209" t="n"/>
    </row>
    <row r="12">
      <c r="A12" s="228" t="inlineStr">
        <is>
          <t>slice 1 hor:</t>
        </is>
      </c>
      <c r="B12" s="209" t="n"/>
      <c r="C12" s="209" t="n"/>
    </row>
    <row r="13">
      <c r="A13" s="228" t="inlineStr">
        <is>
          <t>slice 1 vert:</t>
        </is>
      </c>
      <c r="B13" s="209" t="n"/>
      <c r="C13" s="209" t="n"/>
    </row>
    <row r="14">
      <c r="A14" s="228" t="inlineStr">
        <is>
          <t>slice 5 hor:</t>
        </is>
      </c>
      <c r="B14" s="209" t="n"/>
      <c r="C14" s="209" t="n"/>
    </row>
    <row r="15">
      <c r="A15" s="228" t="inlineStr">
        <is>
          <t>slice 5 vert:</t>
        </is>
      </c>
      <c r="B15" s="209" t="n"/>
      <c r="C15" s="209" t="n"/>
    </row>
    <row r="16">
      <c r="A16" s="228" t="inlineStr">
        <is>
          <t>slice 5 diag SW:</t>
        </is>
      </c>
      <c r="B16" s="209" t="n"/>
      <c r="C16" s="209" t="n"/>
    </row>
    <row r="17" ht="14" customHeight="1" thickBot="1">
      <c r="A17" s="228" t="inlineStr">
        <is>
          <t>slice 5 diag SE:</t>
        </is>
      </c>
      <c r="B17" s="209" t="n"/>
      <c r="C17" s="209" t="n"/>
    </row>
    <row r="18">
      <c r="A18" s="228" t="inlineStr">
        <is>
          <t>Max error:</t>
        </is>
      </c>
      <c r="B18" s="209">
        <f t="array" ref="B18">MAX(ABS(190-B12:B17))</f>
        <v/>
      </c>
      <c r="C18" s="209" t="n"/>
    </row>
    <row r="19" ht="14" customHeight="1" thickBot="1">
      <c r="A19" s="228" t="inlineStr">
        <is>
          <t>CoV:</t>
        </is>
      </c>
      <c r="B19" s="233" t="n"/>
      <c r="C19" s="209" t="n"/>
    </row>
    <row r="20">
      <c r="A20" s="209" t="n"/>
      <c r="B20" s="209" t="n"/>
      <c r="C20" s="209" t="n"/>
    </row>
    <row r="21" ht="14" customHeight="1" thickBot="1">
      <c r="A21" s="209" t="n"/>
      <c r="B21" s="209" t="n"/>
      <c r="C21" s="209" t="n"/>
    </row>
    <row r="22">
      <c r="A22" s="225" t="inlineStr">
        <is>
          <t>Plane:</t>
        </is>
      </c>
      <c r="B22" s="226" t="inlineStr">
        <is>
          <t>TRA</t>
        </is>
      </c>
    </row>
    <row r="23" ht="14" customHeight="1" thickBot="1">
      <c r="A23" s="225" t="inlineStr">
        <is>
          <t>Coil:</t>
        </is>
      </c>
      <c r="B23" s="227" t="inlineStr">
        <is>
          <t>Integrated body</t>
        </is>
      </c>
    </row>
    <row r="24">
      <c r="A24" s="209" t="n"/>
      <c r="B24" s="209" t="n"/>
      <c r="C24" s="209" t="n"/>
    </row>
    <row r="25" ht="14" customHeight="1" thickBot="1">
      <c r="A25" s="228" t="n"/>
      <c r="B25" s="226" t="inlineStr">
        <is>
          <t>Hazen</t>
        </is>
      </c>
      <c r="C25" s="209" t="n"/>
    </row>
    <row r="26">
      <c r="A26" s="228" t="inlineStr">
        <is>
          <t>slice 1 hor:</t>
        </is>
      </c>
      <c r="B26" s="209" t="n"/>
      <c r="C26" s="209" t="n"/>
    </row>
    <row r="27">
      <c r="A27" s="228" t="inlineStr">
        <is>
          <t>slice 1 vert:</t>
        </is>
      </c>
      <c r="B27" s="209" t="n"/>
      <c r="C27" s="209" t="n"/>
    </row>
    <row r="28">
      <c r="A28" s="228" t="inlineStr">
        <is>
          <t>slice 5 hor:</t>
        </is>
      </c>
      <c r="B28" s="209" t="n"/>
      <c r="C28" s="209" t="n"/>
    </row>
    <row r="29">
      <c r="A29" s="228" t="inlineStr">
        <is>
          <t>slice 5 vert:</t>
        </is>
      </c>
      <c r="B29" s="209" t="n"/>
      <c r="C29" s="209" t="n"/>
    </row>
    <row r="30">
      <c r="A30" s="228" t="inlineStr">
        <is>
          <t>slice 5 diag SW:</t>
        </is>
      </c>
      <c r="B30" s="209" t="n"/>
      <c r="C30" s="209" t="n"/>
    </row>
    <row r="31" ht="14" customHeight="1" thickBot="1">
      <c r="A31" s="228" t="inlineStr">
        <is>
          <t>slice 5 diag SE:</t>
        </is>
      </c>
      <c r="B31" s="209" t="n"/>
      <c r="C31" s="209" t="n"/>
    </row>
    <row r="32">
      <c r="A32" s="228" t="inlineStr">
        <is>
          <t>Max error:</t>
        </is>
      </c>
      <c r="B32" s="209">
        <f t="array" ref="B32">MAX(ABS(190-B26:B31))</f>
        <v/>
      </c>
      <c r="C32" s="209" t="n"/>
    </row>
    <row r="33" ht="14" customHeight="1" thickBot="1">
      <c r="A33" s="228" t="inlineStr">
        <is>
          <t>CoV:</t>
        </is>
      </c>
      <c r="B33" s="233" t="n"/>
      <c r="C33" s="209" t="n"/>
    </row>
    <row r="34">
      <c r="A34" s="209" t="n"/>
      <c r="B34" s="209" t="n"/>
      <c r="C34" s="209" t="n"/>
    </row>
    <row r="35" ht="14" customHeight="1" thickBot="1">
      <c r="A35" s="209" t="n"/>
      <c r="B35" s="209" t="n"/>
      <c r="C35" s="209" t="n"/>
    </row>
    <row r="36">
      <c r="A36" s="225" t="inlineStr">
        <is>
          <t>Plane:</t>
        </is>
      </c>
      <c r="B36" s="226" t="inlineStr">
        <is>
          <t>SAG</t>
        </is>
      </c>
    </row>
    <row r="37" ht="14" customHeight="1" thickBot="1">
      <c r="A37" s="225" t="inlineStr">
        <is>
          <t>Coil:</t>
        </is>
      </c>
      <c r="B37" s="227" t="inlineStr">
        <is>
          <t>Integrated body</t>
        </is>
      </c>
    </row>
    <row r="38">
      <c r="A38" s="209" t="n"/>
      <c r="B38" s="209" t="n"/>
      <c r="C38" s="209" t="n"/>
    </row>
    <row r="39" ht="14" customHeight="1" thickBot="1">
      <c r="A39" s="225" t="n"/>
      <c r="B39" s="226" t="inlineStr">
        <is>
          <t>Hazen</t>
        </is>
      </c>
      <c r="C39" s="209" t="n"/>
    </row>
    <row r="40">
      <c r="A40" s="228" t="inlineStr">
        <is>
          <t>slice 1 hor:</t>
        </is>
      </c>
      <c r="B40" s="209" t="n"/>
      <c r="C40" s="209" t="n"/>
    </row>
    <row r="41">
      <c r="A41" s="228" t="inlineStr">
        <is>
          <t>slice 1 vert:</t>
        </is>
      </c>
      <c r="B41" s="209" t="n"/>
      <c r="C41" s="209" t="n"/>
    </row>
    <row r="42">
      <c r="A42" s="228" t="inlineStr">
        <is>
          <t>slice 5 hor:</t>
        </is>
      </c>
      <c r="B42" s="209" t="n"/>
      <c r="C42" s="209" t="n"/>
    </row>
    <row r="43">
      <c r="A43" s="228" t="inlineStr">
        <is>
          <t>slice 5 vert:</t>
        </is>
      </c>
      <c r="B43" s="209" t="n"/>
      <c r="C43" s="209" t="n"/>
    </row>
    <row r="44">
      <c r="A44" s="228" t="inlineStr">
        <is>
          <t>slice 5 diag SW:</t>
        </is>
      </c>
      <c r="B44" s="209" t="n"/>
      <c r="C44" s="209" t="n"/>
    </row>
    <row r="45" ht="14" customHeight="1" thickBot="1">
      <c r="A45" s="228" t="inlineStr">
        <is>
          <t>slice 5 diag SE:</t>
        </is>
      </c>
      <c r="B45" s="209" t="n"/>
      <c r="C45" s="209" t="n"/>
    </row>
    <row r="46">
      <c r="A46" s="228" t="inlineStr">
        <is>
          <t>Max error:</t>
        </is>
      </c>
      <c r="B46" s="209">
        <f t="array" ref="B46">MAX(ABS(190-B40:B45))</f>
        <v/>
      </c>
      <c r="C46" s="209" t="n"/>
    </row>
    <row r="47" ht="14" customHeight="1" thickBot="1">
      <c r="A47" s="228" t="inlineStr">
        <is>
          <t>CoV:</t>
        </is>
      </c>
      <c r="B47" s="233" t="n"/>
      <c r="C47" s="209" t="n"/>
    </row>
    <row r="48">
      <c r="A48" s="209" t="n"/>
      <c r="B48" s="209" t="n"/>
      <c r="C48" s="209" t="n"/>
    </row>
    <row r="49" ht="14" customHeight="1" thickBot="1">
      <c r="A49" s="209" t="n"/>
      <c r="B49" s="209" t="n"/>
      <c r="C49" s="209" t="n"/>
    </row>
    <row r="50">
      <c r="A50" s="225" t="inlineStr">
        <is>
          <t>Plane:</t>
        </is>
      </c>
      <c r="B50" s="226" t="inlineStr">
        <is>
          <t>COR</t>
        </is>
      </c>
    </row>
    <row r="51" ht="13" customHeight="1" thickBot="1">
      <c r="A51" s="225" t="inlineStr">
        <is>
          <t>Coil:</t>
        </is>
      </c>
      <c r="B51" s="227" t="inlineStr">
        <is>
          <t>Integrated body</t>
        </is>
      </c>
    </row>
    <row r="52" ht="13" customHeight="1">
      <c r="A52" s="209" t="n"/>
      <c r="B52" s="209" t="n"/>
      <c r="C52" s="209" t="n"/>
    </row>
    <row r="53" ht="14" customHeight="1" thickBot="1">
      <c r="A53" s="225" t="n"/>
      <c r="B53" s="226" t="inlineStr">
        <is>
          <t>Hazen</t>
        </is>
      </c>
      <c r="C53" s="209" t="n"/>
    </row>
    <row r="54" ht="13" customHeight="1">
      <c r="A54" s="228" t="inlineStr">
        <is>
          <t>slice 1 hor:</t>
        </is>
      </c>
      <c r="B54" s="209" t="n"/>
      <c r="C54" s="209" t="n"/>
    </row>
    <row r="55" ht="13" customHeight="1">
      <c r="A55" s="228" t="inlineStr">
        <is>
          <t>slice 1 vert:</t>
        </is>
      </c>
      <c r="B55" s="209" t="n"/>
      <c r="C55" s="209" t="n"/>
    </row>
    <row r="56" ht="14" customHeight="1">
      <c r="A56" s="228" t="inlineStr">
        <is>
          <t>slice 5 hor:</t>
        </is>
      </c>
      <c r="B56" s="209" t="n"/>
      <c r="C56" s="209" t="n"/>
    </row>
    <row r="57">
      <c r="A57" s="228" t="inlineStr">
        <is>
          <t>slice 5 vert:</t>
        </is>
      </c>
      <c r="B57" s="209" t="n"/>
      <c r="C57" s="209" t="n"/>
    </row>
    <row r="58">
      <c r="A58" s="228" t="inlineStr">
        <is>
          <t>slice 5 diag SW:</t>
        </is>
      </c>
      <c r="B58" s="209" t="n"/>
      <c r="C58" s="209" t="n"/>
    </row>
    <row r="59" ht="14" customHeight="1" thickBot="1">
      <c r="A59" s="228" t="inlineStr">
        <is>
          <t>slice 5 diag SE:</t>
        </is>
      </c>
      <c r="B59" s="209" t="n"/>
      <c r="C59" s="225" t="n"/>
    </row>
    <row r="60">
      <c r="A60" s="228" t="inlineStr">
        <is>
          <t>Max error:</t>
        </is>
      </c>
      <c r="B60" s="209">
        <f t="array" ref="B60">MAX(ABS(190-B54:B59))</f>
        <v/>
      </c>
      <c r="C60" s="225" t="n"/>
    </row>
    <row r="61" ht="14" customHeight="1" thickBot="1">
      <c r="A61" s="228" t="inlineStr">
        <is>
          <t>CoV:</t>
        </is>
      </c>
      <c r="B61" s="233" t="n"/>
      <c r="C61" s="225" t="n"/>
    </row>
  </sheetData>
  <mergeCells count="8">
    <mergeCell ref="B51:C51"/>
    <mergeCell ref="B37:C37"/>
    <mergeCell ref="B23:C23"/>
    <mergeCell ref="B22:C22"/>
    <mergeCell ref="B36:C36"/>
    <mergeCell ref="B50:C50"/>
    <mergeCell ref="B9:C9"/>
    <mergeCell ref="B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hazen</dc:creator>
  <dcterms:created xmlns:dcterms="http://purl.org/dc/terms/" xmlns:xsi="http://www.w3.org/2001/XMLSchema-instance" xsi:type="dcterms:W3CDTF">2017-03-05T19:49:22Z</dcterms:created>
  <dcterms:modified xmlns:dcterms="http://purl.org/dc/terms/" xmlns:xsi="http://www.w3.org/2001/XMLSchema-instance" xsi:type="dcterms:W3CDTF">2026-10-06T16:20:01Z</dcterms:modified>
  <cp:lastModifiedBy>hazen</cp:lastModifiedBy>
</cp:coreProperties>
</file>